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UPYOGITA\"/>
    </mc:Choice>
  </mc:AlternateContent>
  <bookViews>
    <workbookView xWindow="0" yWindow="0" windowWidth="38400" windowHeight="12315"/>
  </bookViews>
  <sheets>
    <sheet name="धान्य" sheetId="1" r:id="rId1"/>
  </sheets>
  <calcPr calcId="152511"/>
</workbook>
</file>

<file path=xl/calcChain.xml><?xml version="1.0" encoding="utf-8"?>
<calcChain xmlns="http://schemas.openxmlformats.org/spreadsheetml/2006/main">
  <c r="AJ25" i="1" l="1"/>
  <c r="AG25" i="1"/>
  <c r="AD25" i="1"/>
  <c r="AA25" i="1"/>
  <c r="X25" i="1"/>
  <c r="U25" i="1"/>
  <c r="R25" i="1"/>
  <c r="O25" i="1"/>
  <c r="L25" i="1"/>
  <c r="I25" i="1"/>
  <c r="F25" i="1"/>
  <c r="C25" i="1"/>
  <c r="AJ24" i="1"/>
  <c r="AK24" i="1" s="1"/>
  <c r="AH24" i="1"/>
  <c r="AE24" i="1"/>
  <c r="AB24" i="1"/>
  <c r="Y24" i="1"/>
  <c r="V24" i="1"/>
  <c r="S24" i="1"/>
  <c r="P24" i="1"/>
  <c r="J24" i="1"/>
  <c r="M24" i="1" s="1"/>
  <c r="AJ23" i="1"/>
  <c r="AK23" i="1" s="1"/>
  <c r="AH23" i="1"/>
  <c r="AE23" i="1"/>
  <c r="AB23" i="1"/>
  <c r="Y23" i="1"/>
  <c r="V23" i="1"/>
  <c r="S23" i="1"/>
  <c r="P23" i="1"/>
  <c r="M23" i="1"/>
  <c r="J23" i="1"/>
  <c r="G23" i="1"/>
  <c r="D23" i="1"/>
  <c r="AJ22" i="1"/>
  <c r="AK22" i="1" s="1"/>
  <c r="AH22" i="1"/>
  <c r="AE22" i="1"/>
  <c r="AB22" i="1"/>
  <c r="Y22" i="1"/>
  <c r="V22" i="1"/>
  <c r="S22" i="1"/>
  <c r="P22" i="1"/>
  <c r="M22" i="1"/>
  <c r="J22" i="1"/>
  <c r="G22" i="1"/>
  <c r="D22" i="1"/>
  <c r="AK21" i="1"/>
  <c r="AJ21" i="1"/>
  <c r="AH21" i="1"/>
  <c r="AE21" i="1"/>
  <c r="AB21" i="1"/>
  <c r="Y21" i="1"/>
  <c r="V21" i="1"/>
  <c r="S21" i="1"/>
  <c r="P21" i="1"/>
  <c r="M21" i="1"/>
  <c r="J21" i="1"/>
  <c r="G21" i="1"/>
  <c r="D21" i="1"/>
  <c r="AJ20" i="1"/>
  <c r="AK20" i="1" s="1"/>
  <c r="AH20" i="1"/>
  <c r="AE20" i="1"/>
  <c r="AB20" i="1"/>
  <c r="Y20" i="1"/>
  <c r="V20" i="1"/>
  <c r="S20" i="1"/>
  <c r="P20" i="1"/>
  <c r="M20" i="1"/>
  <c r="J20" i="1"/>
  <c r="G20" i="1"/>
  <c r="D20" i="1"/>
  <c r="AJ19" i="1"/>
  <c r="AK19" i="1" s="1"/>
  <c r="AH19" i="1"/>
  <c r="AE19" i="1"/>
  <c r="AB19" i="1"/>
  <c r="Y19" i="1"/>
  <c r="V19" i="1"/>
  <c r="S19" i="1"/>
  <c r="P19" i="1"/>
  <c r="M19" i="1"/>
  <c r="J19" i="1"/>
  <c r="G19" i="1"/>
  <c r="D19" i="1"/>
  <c r="AJ18" i="1"/>
  <c r="AK18" i="1" s="1"/>
  <c r="AH18" i="1"/>
  <c r="AE18" i="1"/>
  <c r="AB18" i="1"/>
  <c r="Y18" i="1"/>
  <c r="V18" i="1"/>
  <c r="S18" i="1"/>
  <c r="P18" i="1"/>
  <c r="M18" i="1"/>
  <c r="J18" i="1"/>
  <c r="G18" i="1"/>
  <c r="D18" i="1"/>
  <c r="AJ17" i="1"/>
  <c r="AK17" i="1" s="1"/>
  <c r="AH17" i="1"/>
  <c r="AE17" i="1"/>
  <c r="AB17" i="1"/>
  <c r="Y17" i="1"/>
  <c r="V17" i="1"/>
  <c r="S17" i="1"/>
  <c r="P17" i="1"/>
  <c r="M17" i="1"/>
  <c r="J17" i="1"/>
  <c r="G17" i="1"/>
  <c r="D17" i="1"/>
  <c r="AK16" i="1"/>
  <c r="AJ16" i="1"/>
  <c r="AH16" i="1"/>
  <c r="AE16" i="1"/>
  <c r="AB16" i="1"/>
  <c r="Y16" i="1"/>
  <c r="V16" i="1"/>
  <c r="S16" i="1"/>
  <c r="P16" i="1"/>
  <c r="M16" i="1"/>
  <c r="J16" i="1"/>
  <c r="G16" i="1"/>
  <c r="D16" i="1"/>
  <c r="AJ15" i="1"/>
  <c r="AK15" i="1" s="1"/>
  <c r="AH15" i="1"/>
  <c r="AE15" i="1"/>
  <c r="AB15" i="1"/>
  <c r="Y15" i="1"/>
  <c r="V15" i="1"/>
  <c r="S15" i="1"/>
  <c r="P15" i="1"/>
  <c r="M15" i="1"/>
  <c r="J15" i="1"/>
  <c r="G15" i="1"/>
  <c r="D15" i="1"/>
  <c r="AK14" i="1"/>
  <c r="AJ14" i="1"/>
  <c r="AH14" i="1"/>
  <c r="AE14" i="1"/>
  <c r="AB14" i="1"/>
  <c r="Y14" i="1"/>
  <c r="V14" i="1"/>
  <c r="S14" i="1"/>
  <c r="P14" i="1"/>
  <c r="M14" i="1"/>
  <c r="J14" i="1"/>
  <c r="G14" i="1"/>
  <c r="D14" i="1"/>
  <c r="AK13" i="1"/>
  <c r="AJ13" i="1"/>
  <c r="AH13" i="1"/>
  <c r="AE13" i="1"/>
  <c r="AB13" i="1"/>
  <c r="Y13" i="1"/>
  <c r="V13" i="1"/>
  <c r="S13" i="1"/>
  <c r="P13" i="1"/>
  <c r="M13" i="1"/>
  <c r="J13" i="1"/>
  <c r="G13" i="1"/>
  <c r="D13" i="1"/>
  <c r="AJ12" i="1"/>
  <c r="AK12" i="1" s="1"/>
  <c r="AH12" i="1"/>
  <c r="AE12" i="1"/>
  <c r="AB12" i="1"/>
  <c r="Y12" i="1"/>
  <c r="V12" i="1"/>
  <c r="S12" i="1"/>
  <c r="P12" i="1"/>
  <c r="M12" i="1"/>
  <c r="J12" i="1"/>
  <c r="G12" i="1"/>
  <c r="D12" i="1"/>
  <c r="AJ11" i="1"/>
  <c r="AK11" i="1" s="1"/>
  <c r="AH11" i="1"/>
  <c r="AE11" i="1"/>
  <c r="AB11" i="1"/>
  <c r="Y11" i="1"/>
  <c r="V11" i="1"/>
  <c r="S11" i="1"/>
  <c r="P11" i="1"/>
  <c r="M11" i="1"/>
  <c r="J11" i="1"/>
  <c r="G11" i="1"/>
  <c r="D11" i="1"/>
  <c r="AJ10" i="1"/>
  <c r="AK10" i="1" s="1"/>
  <c r="AH10" i="1"/>
  <c r="AE10" i="1"/>
  <c r="AB10" i="1"/>
  <c r="Y10" i="1"/>
  <c r="V10" i="1"/>
  <c r="S10" i="1"/>
  <c r="P10" i="1"/>
  <c r="M10" i="1"/>
  <c r="J10" i="1"/>
  <c r="G10" i="1"/>
  <c r="D10" i="1"/>
  <c r="AJ9" i="1"/>
  <c r="AK9" i="1" s="1"/>
  <c r="AH9" i="1"/>
  <c r="AE9" i="1"/>
  <c r="AB9" i="1"/>
  <c r="Y9" i="1"/>
  <c r="V9" i="1"/>
  <c r="S9" i="1"/>
  <c r="P9" i="1"/>
  <c r="M9" i="1"/>
  <c r="J9" i="1"/>
  <c r="G9" i="1"/>
  <c r="D9" i="1"/>
  <c r="AK8" i="1"/>
  <c r="AJ8" i="1"/>
  <c r="AH8" i="1"/>
  <c r="AE8" i="1"/>
  <c r="AB8" i="1"/>
  <c r="Y8" i="1"/>
  <c r="V8" i="1"/>
  <c r="S8" i="1"/>
  <c r="P8" i="1"/>
  <c r="M8" i="1"/>
  <c r="J8" i="1"/>
  <c r="G8" i="1"/>
  <c r="D8" i="1"/>
  <c r="AJ6" i="1"/>
  <c r="AJ5" i="1"/>
</calcChain>
</file>

<file path=xl/sharedStrings.xml><?xml version="1.0" encoding="utf-8"?>
<sst xmlns="http://schemas.openxmlformats.org/spreadsheetml/2006/main" count="73" uniqueCount="40">
  <si>
    <t xml:space="preserve">रा जि प शाळा मोहपाडा २०२५-२६ पोषण आहार उपयोगिता  </t>
  </si>
  <si>
    <t>तपशील</t>
  </si>
  <si>
    <t>मार्च २५अखेर शिल्लक</t>
  </si>
  <si>
    <t>एप्रिल 2025</t>
  </si>
  <si>
    <t>जून 2025</t>
  </si>
  <si>
    <t>जुलै 2025</t>
  </si>
  <si>
    <t>ऑगस्ट 2025</t>
  </si>
  <si>
    <t>सप्टेंबर 2025</t>
  </si>
  <si>
    <t>ऑक्टोंबर 2025</t>
  </si>
  <si>
    <t>नोव्हेंबर 2025</t>
  </si>
  <si>
    <t>डिसेंबर 2025</t>
  </si>
  <si>
    <t>जानेवारी 2026</t>
  </si>
  <si>
    <t>फेब्रुवारी 2026</t>
  </si>
  <si>
    <t>मार्च 2026</t>
  </si>
  <si>
    <t>एकूण</t>
  </si>
  <si>
    <t>पटसंख्या</t>
  </si>
  <si>
    <t>कार्यदिवस</t>
  </si>
  <si>
    <t>ताटांची संख्या</t>
  </si>
  <si>
    <t>शिल्लक</t>
  </si>
  <si>
    <t>इंधनखर्च</t>
  </si>
  <si>
    <t xml:space="preserve">प्राप्त </t>
  </si>
  <si>
    <t>शिजवलेला</t>
  </si>
  <si>
    <t>तांदूळ</t>
  </si>
  <si>
    <t>मुगडाळ</t>
  </si>
  <si>
    <t>तुरडाळ</t>
  </si>
  <si>
    <t>मसूरडाळ</t>
  </si>
  <si>
    <t>मटकी</t>
  </si>
  <si>
    <t>मुग</t>
  </si>
  <si>
    <t>चवळी</t>
  </si>
  <si>
    <t>हरभरा</t>
  </si>
  <si>
    <t>वाटणा</t>
  </si>
  <si>
    <t>जिरे</t>
  </si>
  <si>
    <t>मोहरी</t>
  </si>
  <si>
    <t>हळद</t>
  </si>
  <si>
    <t>मिरची पावडर</t>
  </si>
  <si>
    <t>तेल</t>
  </si>
  <si>
    <t>मीठ</t>
  </si>
  <si>
    <t>कांदा लसून</t>
  </si>
  <si>
    <t>सोयावडी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</si>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</sst>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0.000"/>
    <numFmt numFmtId="167" formatCode="0.0000"/>
  </numFmts>
  <fonts count="6">
    <font>
      <sz val="11"/>
      <color rgb="FF000000"/>
      <name val="Calibri"/>
      <scheme val="minor"/>
    </font>
    <font>
      <sz val="14"/>
      <color rgb="FF000000"/>
      <name val="Kokila"/>
    </font>
    <font>
      <b/>
      <sz val="14"/>
      <color rgb="FF000000"/>
      <name val="Kokila"/>
    </font>
    <font>
      <sz val="11"/>
      <name val="Calibri"/>
    </font>
    <font>
      <sz val="10"/>
      <color rgb="FF000000"/>
      <name val="Kokila"/>
    </font>
    <font>
      <b/>
      <sz val="10"/>
      <color rgb="FF000000"/>
      <name val="Kokila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" fontId="4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tabSelected="1" workbookViewId="0">
      <pane xSplit="1" topLeftCell="B1" activePane="topRight" state="frozen"/>
      <selection pane="topRight" activeCell="E30" sqref="E30"/>
    </sheetView>
  </sheetViews>
  <sheetFormatPr defaultColWidth="14.42578125" defaultRowHeight="15" customHeight="1"/>
  <cols>
    <col min="1" max="1" width="11.7109375" customWidth="1"/>
    <col min="2" max="2" width="7.140625" customWidth="1"/>
    <col min="3" max="3" width="15" customWidth="1"/>
    <col min="4" max="4" width="8.85546875" customWidth="1"/>
    <col min="5" max="33" width="7.140625" customWidth="1"/>
    <col min="34" max="34" width="7.7109375" customWidth="1"/>
    <col min="35" max="36" width="7.140625" customWidth="1"/>
    <col min="37" max="37" width="8.42578125" customWidth="1"/>
    <col min="38" max="38" width="7.140625" customWidth="1"/>
  </cols>
  <sheetData>
    <row r="1" spans="1:38" ht="18.7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ht="18.7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spans="1:38" ht="18.75" customHeight="1">
      <c r="A3" s="17" t="s">
        <v>1</v>
      </c>
      <c r="B3" s="20" t="s">
        <v>2</v>
      </c>
      <c r="C3" s="9" t="s">
        <v>3</v>
      </c>
      <c r="D3" s="10"/>
      <c r="E3" s="11"/>
      <c r="F3" s="9" t="s">
        <v>4</v>
      </c>
      <c r="G3" s="10"/>
      <c r="H3" s="11"/>
      <c r="I3" s="9" t="s">
        <v>5</v>
      </c>
      <c r="J3" s="10"/>
      <c r="K3" s="11"/>
      <c r="L3" s="9" t="s">
        <v>6</v>
      </c>
      <c r="M3" s="10"/>
      <c r="N3" s="11"/>
      <c r="O3" s="9" t="s">
        <v>7</v>
      </c>
      <c r="P3" s="10"/>
      <c r="Q3" s="11"/>
      <c r="R3" s="9" t="s">
        <v>8</v>
      </c>
      <c r="S3" s="10"/>
      <c r="T3" s="11"/>
      <c r="U3" s="9" t="s">
        <v>9</v>
      </c>
      <c r="V3" s="10"/>
      <c r="W3" s="11"/>
      <c r="X3" s="9" t="s">
        <v>10</v>
      </c>
      <c r="Y3" s="10"/>
      <c r="Z3" s="11"/>
      <c r="AA3" s="9" t="s">
        <v>11</v>
      </c>
      <c r="AB3" s="10"/>
      <c r="AC3" s="11"/>
      <c r="AD3" s="9" t="s">
        <v>12</v>
      </c>
      <c r="AE3" s="10"/>
      <c r="AF3" s="11"/>
      <c r="AG3" s="9" t="s">
        <v>13</v>
      </c>
      <c r="AH3" s="10"/>
      <c r="AI3" s="11"/>
      <c r="AJ3" s="9" t="s">
        <v>14</v>
      </c>
      <c r="AK3" s="10"/>
      <c r="AL3" s="11"/>
    </row>
    <row r="4" spans="1:38" ht="18.75" customHeight="1">
      <c r="A4" s="18"/>
      <c r="B4" s="18"/>
      <c r="C4" s="2" t="s">
        <v>15</v>
      </c>
      <c r="D4" s="9">
        <v>15</v>
      </c>
      <c r="E4" s="11"/>
      <c r="F4" s="9">
        <v>14</v>
      </c>
      <c r="G4" s="10"/>
      <c r="H4" s="11"/>
      <c r="I4" s="9">
        <v>14</v>
      </c>
      <c r="J4" s="10"/>
      <c r="K4" s="11"/>
      <c r="L4" s="9">
        <v>14</v>
      </c>
      <c r="M4" s="10"/>
      <c r="N4" s="11"/>
      <c r="O4" s="9">
        <v>14</v>
      </c>
      <c r="P4" s="10"/>
      <c r="Q4" s="11"/>
      <c r="R4" s="9">
        <v>15</v>
      </c>
      <c r="S4" s="10"/>
      <c r="T4" s="11"/>
      <c r="U4" s="9">
        <v>15</v>
      </c>
      <c r="V4" s="10"/>
      <c r="W4" s="11"/>
      <c r="X4" s="9">
        <v>15</v>
      </c>
      <c r="Y4" s="10"/>
      <c r="Z4" s="11"/>
      <c r="AA4" s="9">
        <v>15</v>
      </c>
      <c r="AB4" s="10"/>
      <c r="AC4" s="11"/>
      <c r="AD4" s="9">
        <v>15</v>
      </c>
      <c r="AE4" s="10"/>
      <c r="AF4" s="11"/>
      <c r="AG4" s="9">
        <v>15</v>
      </c>
      <c r="AH4" s="10"/>
      <c r="AI4" s="11"/>
      <c r="AJ4" s="9">
        <v>15</v>
      </c>
      <c r="AK4" s="10"/>
      <c r="AL4" s="11"/>
    </row>
    <row r="5" spans="1:38" ht="18.75" customHeight="1">
      <c r="A5" s="18"/>
      <c r="B5" s="18"/>
      <c r="C5" s="2" t="s">
        <v>16</v>
      </c>
      <c r="D5" s="9">
        <v>23</v>
      </c>
      <c r="E5" s="11"/>
      <c r="F5" s="9">
        <v>13</v>
      </c>
      <c r="G5" s="10"/>
      <c r="H5" s="11"/>
      <c r="I5" s="9">
        <v>27</v>
      </c>
      <c r="J5" s="10"/>
      <c r="K5" s="11"/>
      <c r="L5" s="9">
        <v>17</v>
      </c>
      <c r="M5" s="10"/>
      <c r="N5" s="11"/>
      <c r="O5" s="9">
        <v>19</v>
      </c>
      <c r="P5" s="10"/>
      <c r="Q5" s="11"/>
      <c r="R5" s="9">
        <v>13</v>
      </c>
      <c r="S5" s="10"/>
      <c r="T5" s="11"/>
      <c r="U5" s="9">
        <v>24</v>
      </c>
      <c r="V5" s="10"/>
      <c r="W5" s="11"/>
      <c r="X5" s="9">
        <v>25</v>
      </c>
      <c r="Y5" s="10"/>
      <c r="Z5" s="11"/>
      <c r="AA5" s="9">
        <v>21</v>
      </c>
      <c r="AB5" s="10"/>
      <c r="AC5" s="11"/>
      <c r="AD5" s="9">
        <v>22</v>
      </c>
      <c r="AE5" s="10"/>
      <c r="AF5" s="11"/>
      <c r="AG5" s="9">
        <v>20</v>
      </c>
      <c r="AH5" s="10"/>
      <c r="AI5" s="11"/>
      <c r="AJ5" s="9">
        <f t="shared" ref="AJ5:AJ6" si="0">AG5+AD5+AA5+X5+U5+R5+O5+L5+F5+I5+D5</f>
        <v>224</v>
      </c>
      <c r="AK5" s="10"/>
      <c r="AL5" s="11"/>
    </row>
    <row r="6" spans="1:38" ht="18.75" customHeight="1">
      <c r="A6" s="18"/>
      <c r="B6" s="18"/>
      <c r="C6" s="2" t="s">
        <v>17</v>
      </c>
      <c r="D6" s="9">
        <v>340</v>
      </c>
      <c r="E6" s="11"/>
      <c r="F6" s="9">
        <v>161</v>
      </c>
      <c r="G6" s="10"/>
      <c r="H6" s="11"/>
      <c r="I6" s="9">
        <v>259</v>
      </c>
      <c r="J6" s="10"/>
      <c r="K6" s="11"/>
      <c r="L6" s="9">
        <v>201</v>
      </c>
      <c r="M6" s="10"/>
      <c r="N6" s="11"/>
      <c r="O6" s="9">
        <v>219</v>
      </c>
      <c r="P6" s="10"/>
      <c r="Q6" s="11"/>
      <c r="R6" s="9">
        <v>173</v>
      </c>
      <c r="S6" s="10"/>
      <c r="T6" s="11"/>
      <c r="U6" s="9">
        <v>299</v>
      </c>
      <c r="V6" s="10"/>
      <c r="W6" s="11"/>
      <c r="X6" s="9">
        <v>349</v>
      </c>
      <c r="Y6" s="10"/>
      <c r="Z6" s="11"/>
      <c r="AA6" s="9">
        <v>294</v>
      </c>
      <c r="AB6" s="10"/>
      <c r="AC6" s="11"/>
      <c r="AD6" s="9">
        <v>308</v>
      </c>
      <c r="AE6" s="10"/>
      <c r="AF6" s="11"/>
      <c r="AG6" s="9">
        <v>280</v>
      </c>
      <c r="AH6" s="10"/>
      <c r="AI6" s="11"/>
      <c r="AJ6" s="9">
        <f t="shared" si="0"/>
        <v>2883</v>
      </c>
      <c r="AK6" s="10"/>
      <c r="AL6" s="11"/>
    </row>
    <row r="7" spans="1:38" ht="18.75" customHeight="1">
      <c r="A7" s="19"/>
      <c r="B7" s="19"/>
      <c r="C7" s="2" t="s">
        <v>20</v>
      </c>
      <c r="D7" s="2" t="s">
        <v>21</v>
      </c>
      <c r="E7" s="2" t="s">
        <v>18</v>
      </c>
      <c r="F7" s="2" t="s">
        <v>20</v>
      </c>
      <c r="G7" s="2" t="s">
        <v>21</v>
      </c>
      <c r="H7" s="2" t="s">
        <v>18</v>
      </c>
      <c r="I7" s="2" t="s">
        <v>20</v>
      </c>
      <c r="J7" s="2" t="s">
        <v>21</v>
      </c>
      <c r="K7" s="2" t="s">
        <v>18</v>
      </c>
      <c r="L7" s="2" t="s">
        <v>20</v>
      </c>
      <c r="M7" s="2" t="s">
        <v>21</v>
      </c>
      <c r="N7" s="2" t="s">
        <v>18</v>
      </c>
      <c r="O7" s="2" t="s">
        <v>20</v>
      </c>
      <c r="P7" s="2" t="s">
        <v>21</v>
      </c>
      <c r="Q7" s="2" t="s">
        <v>18</v>
      </c>
      <c r="R7" s="2" t="s">
        <v>20</v>
      </c>
      <c r="S7" s="2" t="s">
        <v>21</v>
      </c>
      <c r="T7" s="2" t="s">
        <v>18</v>
      </c>
      <c r="U7" s="2" t="s">
        <v>20</v>
      </c>
      <c r="V7" s="2" t="s">
        <v>21</v>
      </c>
      <c r="W7" s="2" t="s">
        <v>18</v>
      </c>
      <c r="X7" s="2" t="s">
        <v>20</v>
      </c>
      <c r="Y7" s="2" t="s">
        <v>21</v>
      </c>
      <c r="Z7" s="2" t="s">
        <v>18</v>
      </c>
      <c r="AA7" s="2" t="s">
        <v>20</v>
      </c>
      <c r="AB7" s="2" t="s">
        <v>21</v>
      </c>
      <c r="AC7" s="2" t="s">
        <v>18</v>
      </c>
      <c r="AD7" s="2" t="s">
        <v>20</v>
      </c>
      <c r="AE7" s="2" t="s">
        <v>21</v>
      </c>
      <c r="AF7" s="2" t="s">
        <v>18</v>
      </c>
      <c r="AG7" s="2" t="s">
        <v>20</v>
      </c>
      <c r="AH7" s="2" t="s">
        <v>21</v>
      </c>
      <c r="AI7" s="2" t="s">
        <v>18</v>
      </c>
      <c r="AJ7" s="2" t="s">
        <v>20</v>
      </c>
      <c r="AK7" s="2" t="s">
        <v>21</v>
      </c>
      <c r="AL7" s="2" t="s">
        <v>18</v>
      </c>
    </row>
    <row r="8" spans="1:38" ht="18.75" customHeight="1">
      <c r="A8" s="2" t="s">
        <v>22</v>
      </c>
      <c r="B8" s="3">
        <v>33.4</v>
      </c>
      <c r="C8" s="3">
        <v>40</v>
      </c>
      <c r="D8" s="4">
        <f t="shared" ref="D8:D23" si="1">B8+C8-E8</f>
        <v>34.000000000000007</v>
      </c>
      <c r="E8" s="3">
        <v>39.4</v>
      </c>
      <c r="F8" s="4">
        <v>0</v>
      </c>
      <c r="G8" s="4">
        <f t="shared" ref="G8:G23" si="2">E8+F8-H8</f>
        <v>16.099999999999998</v>
      </c>
      <c r="H8" s="3">
        <v>23.3</v>
      </c>
      <c r="I8" s="3">
        <v>50</v>
      </c>
      <c r="J8" s="4">
        <f t="shared" ref="J8:J24" si="3">H8+I8-K8</f>
        <v>26.9</v>
      </c>
      <c r="K8" s="3">
        <v>46.4</v>
      </c>
      <c r="L8" s="4">
        <v>0</v>
      </c>
      <c r="M8" s="4">
        <f t="shared" ref="M8:M23" si="4">K8+L8-N8</f>
        <v>20.099999999999998</v>
      </c>
      <c r="N8" s="3">
        <v>26.3</v>
      </c>
      <c r="O8" s="4">
        <v>50</v>
      </c>
      <c r="P8" s="4">
        <f t="shared" ref="P8:P24" si="5">N8+O8-Q8</f>
        <v>21.9</v>
      </c>
      <c r="Q8" s="3">
        <v>54.4</v>
      </c>
      <c r="R8" s="4">
        <v>0</v>
      </c>
      <c r="S8" s="4">
        <f t="shared" ref="S8:S24" si="6">Q8+R8-T8</f>
        <v>17.299999999999997</v>
      </c>
      <c r="T8" s="3">
        <v>37.1</v>
      </c>
      <c r="U8" s="3">
        <v>50</v>
      </c>
      <c r="V8" s="4">
        <f t="shared" ref="V8:V24" si="7">T8+U8-W8</f>
        <v>29.899999999999991</v>
      </c>
      <c r="W8" s="3">
        <v>57.2</v>
      </c>
      <c r="X8" s="3">
        <v>100</v>
      </c>
      <c r="Y8" s="4">
        <f t="shared" ref="Y8:Y24" si="8">W8+X8-Z8</f>
        <v>34.899999999999991</v>
      </c>
      <c r="Z8" s="3">
        <v>122.3</v>
      </c>
      <c r="AA8" s="4">
        <v>0</v>
      </c>
      <c r="AB8" s="4">
        <f t="shared" ref="AB8:AB24" si="9">Z8+AA8-AC8</f>
        <v>29.399999999999991</v>
      </c>
      <c r="AC8" s="3">
        <v>92.9</v>
      </c>
      <c r="AD8" s="4">
        <v>0</v>
      </c>
      <c r="AE8" s="4">
        <f t="shared" ref="AE8:AE24" si="10">AD8-AF8+AC8</f>
        <v>30.800000000000004</v>
      </c>
      <c r="AF8" s="3">
        <v>62.1</v>
      </c>
      <c r="AG8" s="3">
        <v>100</v>
      </c>
      <c r="AH8" s="4">
        <f t="shared" ref="AH8:AH24" si="11">AF8+AG8-AI8</f>
        <v>28</v>
      </c>
      <c r="AI8" s="3">
        <v>134.1</v>
      </c>
      <c r="AJ8" s="4">
        <f t="shared" ref="AJ8:AJ24" si="12">C8+F8+I8+O8+R8+U8+X8+AA8+AD8+AG8</f>
        <v>390</v>
      </c>
      <c r="AK8" s="4">
        <f t="shared" ref="AK8:AK24" si="13">B8+AJ8-AL8</f>
        <v>289.29999999999995</v>
      </c>
      <c r="AL8" s="3">
        <v>134.1</v>
      </c>
    </row>
    <row r="9" spans="1:38" ht="18.75" customHeight="1">
      <c r="A9" s="2" t="s">
        <v>23</v>
      </c>
      <c r="B9" s="3">
        <v>-0.3</v>
      </c>
      <c r="C9" s="3">
        <v>4</v>
      </c>
      <c r="D9" s="4">
        <f t="shared" si="1"/>
        <v>1.5</v>
      </c>
      <c r="E9" s="3">
        <v>2.2000000000000002</v>
      </c>
      <c r="F9" s="4">
        <v>0</v>
      </c>
      <c r="G9" s="4">
        <f t="shared" si="2"/>
        <v>1.2400000000000002</v>
      </c>
      <c r="H9" s="3">
        <v>0.96</v>
      </c>
      <c r="I9" s="3">
        <v>3</v>
      </c>
      <c r="J9" s="4">
        <f t="shared" si="3"/>
        <v>0.29999999999999982</v>
      </c>
      <c r="K9" s="3">
        <v>3.66</v>
      </c>
      <c r="L9" s="4">
        <v>0</v>
      </c>
      <c r="M9" s="4">
        <f t="shared" si="4"/>
        <v>0.66000000000000014</v>
      </c>
      <c r="N9" s="3">
        <v>3</v>
      </c>
      <c r="O9" s="3">
        <v>5</v>
      </c>
      <c r="P9" s="4">
        <f t="shared" si="5"/>
        <v>0.67999999999999972</v>
      </c>
      <c r="Q9" s="3">
        <v>7.32</v>
      </c>
      <c r="R9" s="4">
        <v>0</v>
      </c>
      <c r="S9" s="4">
        <f t="shared" si="6"/>
        <v>0.54</v>
      </c>
      <c r="T9" s="3">
        <v>6.78</v>
      </c>
      <c r="U9" s="4">
        <v>0</v>
      </c>
      <c r="V9" s="4">
        <f t="shared" si="7"/>
        <v>1.04</v>
      </c>
      <c r="W9" s="3">
        <v>5.74</v>
      </c>
      <c r="X9" s="4">
        <v>0</v>
      </c>
      <c r="Y9" s="4">
        <f t="shared" si="8"/>
        <v>1.1200000000000001</v>
      </c>
      <c r="Z9" s="3">
        <v>4.62</v>
      </c>
      <c r="AA9" s="4">
        <v>0</v>
      </c>
      <c r="AB9" s="4">
        <f t="shared" si="9"/>
        <v>0.8400000000000003</v>
      </c>
      <c r="AC9" s="3">
        <v>3.78</v>
      </c>
      <c r="AD9" s="4">
        <v>0</v>
      </c>
      <c r="AE9" s="4">
        <f t="shared" si="10"/>
        <v>1.4</v>
      </c>
      <c r="AF9" s="3">
        <v>2.38</v>
      </c>
      <c r="AG9" s="3">
        <v>0</v>
      </c>
      <c r="AH9" s="4">
        <f t="shared" si="11"/>
        <v>2.38</v>
      </c>
      <c r="AI9" s="3">
        <v>0</v>
      </c>
      <c r="AJ9" s="4">
        <f t="shared" si="12"/>
        <v>12</v>
      </c>
      <c r="AK9" s="4">
        <f t="shared" si="13"/>
        <v>11.7</v>
      </c>
      <c r="AL9" s="3">
        <v>0</v>
      </c>
    </row>
    <row r="10" spans="1:38" ht="18.75" customHeight="1">
      <c r="A10" s="2" t="s">
        <v>24</v>
      </c>
      <c r="B10" s="4">
        <v>0</v>
      </c>
      <c r="C10" s="4">
        <v>0</v>
      </c>
      <c r="D10" s="4">
        <f t="shared" si="1"/>
        <v>0</v>
      </c>
      <c r="E10" s="4">
        <v>0</v>
      </c>
      <c r="F10" s="4">
        <v>0</v>
      </c>
      <c r="G10" s="4">
        <f t="shared" si="2"/>
        <v>0</v>
      </c>
      <c r="H10" s="4">
        <v>0</v>
      </c>
      <c r="I10" s="3">
        <v>5</v>
      </c>
      <c r="J10" s="4">
        <f t="shared" si="3"/>
        <v>0.45999999999999996</v>
      </c>
      <c r="K10" s="3">
        <v>4.54</v>
      </c>
      <c r="L10" s="4">
        <v>0</v>
      </c>
      <c r="M10" s="4">
        <f t="shared" si="4"/>
        <v>0.48000000000000043</v>
      </c>
      <c r="N10" s="3">
        <v>4.0599999999999996</v>
      </c>
      <c r="O10" s="4">
        <v>3</v>
      </c>
      <c r="P10" s="4">
        <f t="shared" si="5"/>
        <v>0.39999999999999947</v>
      </c>
      <c r="Q10" s="3">
        <v>6.66</v>
      </c>
      <c r="R10" s="4">
        <v>0</v>
      </c>
      <c r="S10" s="4">
        <f t="shared" si="6"/>
        <v>0.28000000000000025</v>
      </c>
      <c r="T10" s="3">
        <v>6.38</v>
      </c>
      <c r="U10" s="4">
        <v>0</v>
      </c>
      <c r="V10" s="4">
        <f t="shared" si="7"/>
        <v>0.47999999999999954</v>
      </c>
      <c r="W10" s="3">
        <v>5.9</v>
      </c>
      <c r="X10" s="4">
        <v>0</v>
      </c>
      <c r="Y10" s="4">
        <f t="shared" si="8"/>
        <v>1.4000000000000004</v>
      </c>
      <c r="Z10" s="3">
        <v>4.5</v>
      </c>
      <c r="AA10" s="4">
        <v>0</v>
      </c>
      <c r="AB10" s="4">
        <f t="shared" si="9"/>
        <v>0.83999999999999986</v>
      </c>
      <c r="AC10" s="3">
        <v>3.66</v>
      </c>
      <c r="AD10" s="4">
        <v>0</v>
      </c>
      <c r="AE10" s="4">
        <f t="shared" si="10"/>
        <v>1.9600000000000002</v>
      </c>
      <c r="AF10" s="3">
        <v>1.7</v>
      </c>
      <c r="AG10" s="3">
        <v>0</v>
      </c>
      <c r="AH10" s="4">
        <f t="shared" si="11"/>
        <v>1.1200000000000001</v>
      </c>
      <c r="AI10" s="3">
        <v>0.57999999999999996</v>
      </c>
      <c r="AJ10" s="4">
        <f t="shared" si="12"/>
        <v>8</v>
      </c>
      <c r="AK10" s="4">
        <f t="shared" si="13"/>
        <v>7.42</v>
      </c>
      <c r="AL10" s="3">
        <v>0.57999999999999996</v>
      </c>
    </row>
    <row r="11" spans="1:38" ht="18.75" customHeight="1">
      <c r="A11" s="2" t="s">
        <v>25</v>
      </c>
      <c r="B11" s="3">
        <v>4.4000000000000004</v>
      </c>
      <c r="C11" s="3">
        <v>4</v>
      </c>
      <c r="D11" s="4">
        <f t="shared" si="1"/>
        <v>1.7600000000000007</v>
      </c>
      <c r="E11" s="3">
        <v>6.64</v>
      </c>
      <c r="F11" s="4">
        <v>0</v>
      </c>
      <c r="G11" s="4">
        <f t="shared" si="2"/>
        <v>0.73999999999999932</v>
      </c>
      <c r="H11" s="3">
        <v>5.9</v>
      </c>
      <c r="I11" s="4">
        <v>0</v>
      </c>
      <c r="J11" s="4">
        <f t="shared" si="3"/>
        <v>1.8000000000000007</v>
      </c>
      <c r="K11" s="3">
        <v>4.0999999999999996</v>
      </c>
      <c r="L11" s="5">
        <v>0</v>
      </c>
      <c r="M11" s="4">
        <f t="shared" si="4"/>
        <v>0.47999999999999954</v>
      </c>
      <c r="N11" s="3">
        <v>3.62</v>
      </c>
      <c r="O11" s="3">
        <v>2</v>
      </c>
      <c r="P11" s="4">
        <f t="shared" si="5"/>
        <v>2.44</v>
      </c>
      <c r="Q11" s="3">
        <v>3.18</v>
      </c>
      <c r="R11" s="4">
        <v>0</v>
      </c>
      <c r="S11" s="4">
        <f t="shared" si="6"/>
        <v>0.45999999999999996</v>
      </c>
      <c r="T11" s="3">
        <v>2.72</v>
      </c>
      <c r="U11" s="4">
        <v>0</v>
      </c>
      <c r="V11" s="4">
        <f t="shared" si="7"/>
        <v>1.1800000000000002</v>
      </c>
      <c r="W11" s="3">
        <v>1.54</v>
      </c>
      <c r="X11" s="4">
        <v>0</v>
      </c>
      <c r="Y11" s="4">
        <f t="shared" si="8"/>
        <v>0.84000000000000008</v>
      </c>
      <c r="Z11" s="3">
        <v>0.7</v>
      </c>
      <c r="AA11" s="4">
        <v>0</v>
      </c>
      <c r="AB11" s="4">
        <f t="shared" si="9"/>
        <v>0.55999999999999994</v>
      </c>
      <c r="AC11" s="3">
        <v>0.14000000000000001</v>
      </c>
      <c r="AD11" s="4">
        <v>0</v>
      </c>
      <c r="AE11" s="4">
        <f t="shared" si="10"/>
        <v>0</v>
      </c>
      <c r="AF11" s="3">
        <v>0.14000000000000001</v>
      </c>
      <c r="AG11" s="3">
        <v>5</v>
      </c>
      <c r="AH11" s="4">
        <f t="shared" si="11"/>
        <v>0</v>
      </c>
      <c r="AI11" s="3">
        <v>5.14</v>
      </c>
      <c r="AJ11" s="4">
        <f t="shared" si="12"/>
        <v>11</v>
      </c>
      <c r="AK11" s="4">
        <f t="shared" si="13"/>
        <v>10.260000000000002</v>
      </c>
      <c r="AL11" s="3">
        <v>5.14</v>
      </c>
    </row>
    <row r="12" spans="1:38" ht="18.75" customHeight="1">
      <c r="A12" s="2" t="s">
        <v>26</v>
      </c>
      <c r="B12" s="3">
        <v>4.96</v>
      </c>
      <c r="C12" s="4">
        <v>3</v>
      </c>
      <c r="D12" s="4">
        <f t="shared" si="1"/>
        <v>0.59999999999999964</v>
      </c>
      <c r="E12" s="3">
        <v>7.36</v>
      </c>
      <c r="F12" s="4">
        <v>0</v>
      </c>
      <c r="G12" s="4">
        <f t="shared" si="2"/>
        <v>0.72000000000000064</v>
      </c>
      <c r="H12" s="3">
        <v>6.64</v>
      </c>
      <c r="I12" s="3">
        <v>0</v>
      </c>
      <c r="J12" s="4">
        <f t="shared" si="3"/>
        <v>0.8199999999999994</v>
      </c>
      <c r="K12" s="3">
        <v>5.82</v>
      </c>
      <c r="L12" s="4">
        <v>0</v>
      </c>
      <c r="M12" s="4">
        <f t="shared" si="4"/>
        <v>4.4400000000000004</v>
      </c>
      <c r="N12" s="3">
        <v>1.38</v>
      </c>
      <c r="O12" s="3">
        <v>0</v>
      </c>
      <c r="P12" s="4">
        <f t="shared" si="5"/>
        <v>-3.54</v>
      </c>
      <c r="Q12" s="3">
        <v>4.92</v>
      </c>
      <c r="R12" s="4">
        <v>0</v>
      </c>
      <c r="S12" s="4">
        <f t="shared" si="6"/>
        <v>0.83999999999999986</v>
      </c>
      <c r="T12" s="3">
        <v>4.08</v>
      </c>
      <c r="U12" s="4">
        <v>0</v>
      </c>
      <c r="V12" s="4">
        <f t="shared" si="7"/>
        <v>0.28000000000000025</v>
      </c>
      <c r="W12" s="3">
        <v>3.8</v>
      </c>
      <c r="X12" s="4">
        <v>0</v>
      </c>
      <c r="Y12" s="4">
        <f t="shared" si="8"/>
        <v>0.55999999999999961</v>
      </c>
      <c r="Z12" s="3">
        <v>3.24</v>
      </c>
      <c r="AA12" s="4">
        <v>0</v>
      </c>
      <c r="AB12" s="4">
        <f t="shared" si="9"/>
        <v>3.24</v>
      </c>
      <c r="AC12" s="3">
        <v>0</v>
      </c>
      <c r="AD12" s="4">
        <v>0</v>
      </c>
      <c r="AE12" s="4">
        <f t="shared" si="10"/>
        <v>0</v>
      </c>
      <c r="AF12" s="3">
        <v>0</v>
      </c>
      <c r="AG12" s="3">
        <v>5</v>
      </c>
      <c r="AH12" s="4">
        <f t="shared" si="11"/>
        <v>0</v>
      </c>
      <c r="AI12" s="3">
        <v>5</v>
      </c>
      <c r="AJ12" s="4">
        <f t="shared" si="12"/>
        <v>8</v>
      </c>
      <c r="AK12" s="4">
        <f t="shared" si="13"/>
        <v>7.9600000000000009</v>
      </c>
      <c r="AL12" s="3">
        <v>5</v>
      </c>
    </row>
    <row r="13" spans="1:38" ht="18.75" customHeight="1">
      <c r="A13" s="2" t="s">
        <v>27</v>
      </c>
      <c r="B13" s="4">
        <v>0</v>
      </c>
      <c r="C13" s="4">
        <v>0</v>
      </c>
      <c r="D13" s="4">
        <f t="shared" si="1"/>
        <v>0</v>
      </c>
      <c r="E13" s="4">
        <v>0</v>
      </c>
      <c r="F13" s="4">
        <v>0</v>
      </c>
      <c r="G13" s="4">
        <f t="shared" si="2"/>
        <v>0</v>
      </c>
      <c r="H13" s="4">
        <v>0</v>
      </c>
      <c r="I13" s="3">
        <v>5</v>
      </c>
      <c r="J13" s="4">
        <f t="shared" si="3"/>
        <v>0</v>
      </c>
      <c r="K13" s="3">
        <v>5</v>
      </c>
      <c r="L13" s="4">
        <v>0</v>
      </c>
      <c r="M13" s="4">
        <f t="shared" si="4"/>
        <v>0.48000000000000043</v>
      </c>
      <c r="N13" s="3">
        <v>4.5199999999999996</v>
      </c>
      <c r="O13" s="3">
        <v>0</v>
      </c>
      <c r="P13" s="4">
        <f t="shared" si="5"/>
        <v>0.19999999999999929</v>
      </c>
      <c r="Q13" s="3">
        <v>4.32</v>
      </c>
      <c r="R13" s="4">
        <v>0</v>
      </c>
      <c r="S13" s="4">
        <f t="shared" si="6"/>
        <v>0.28000000000000025</v>
      </c>
      <c r="T13" s="3">
        <v>4.04</v>
      </c>
      <c r="U13" s="4">
        <v>0</v>
      </c>
      <c r="V13" s="4">
        <f t="shared" si="7"/>
        <v>0.28000000000000025</v>
      </c>
      <c r="W13" s="3">
        <v>3.76</v>
      </c>
      <c r="X13" s="4">
        <v>0</v>
      </c>
      <c r="Y13" s="4">
        <f t="shared" si="8"/>
        <v>0.2799999999999998</v>
      </c>
      <c r="Z13" s="3">
        <v>3.48</v>
      </c>
      <c r="AA13" s="4">
        <v>0</v>
      </c>
      <c r="AB13" s="4">
        <f t="shared" si="9"/>
        <v>0.2799999999999998</v>
      </c>
      <c r="AC13" s="3">
        <v>3.2</v>
      </c>
      <c r="AD13" s="4">
        <v>0</v>
      </c>
      <c r="AE13" s="4">
        <f t="shared" si="10"/>
        <v>0.8400000000000003</v>
      </c>
      <c r="AF13" s="3">
        <v>2.36</v>
      </c>
      <c r="AG13" s="4">
        <v>0</v>
      </c>
      <c r="AH13" s="4">
        <f t="shared" si="11"/>
        <v>2.36</v>
      </c>
      <c r="AI13" s="3">
        <v>0</v>
      </c>
      <c r="AJ13" s="4">
        <f t="shared" si="12"/>
        <v>5</v>
      </c>
      <c r="AK13" s="4">
        <f t="shared" si="13"/>
        <v>5</v>
      </c>
      <c r="AL13" s="3">
        <v>0</v>
      </c>
    </row>
    <row r="14" spans="1:38" ht="18.75" customHeight="1">
      <c r="A14" s="2" t="s">
        <v>28</v>
      </c>
      <c r="B14" s="3">
        <v>-1.48</v>
      </c>
      <c r="C14" s="3">
        <v>3</v>
      </c>
      <c r="D14" s="4">
        <f t="shared" si="1"/>
        <v>0.9</v>
      </c>
      <c r="E14" s="3">
        <v>0.62</v>
      </c>
      <c r="F14" s="4">
        <v>0</v>
      </c>
      <c r="G14" s="4">
        <f t="shared" si="2"/>
        <v>0</v>
      </c>
      <c r="H14" s="3">
        <v>0.62</v>
      </c>
      <c r="I14" s="3">
        <v>5</v>
      </c>
      <c r="J14" s="4">
        <f t="shared" si="3"/>
        <v>0.5</v>
      </c>
      <c r="K14" s="3">
        <v>5.12</v>
      </c>
      <c r="L14" s="4">
        <v>0</v>
      </c>
      <c r="M14" s="4">
        <f t="shared" si="4"/>
        <v>0.75999999999999979</v>
      </c>
      <c r="N14" s="3">
        <v>4.3600000000000003</v>
      </c>
      <c r="O14" s="3">
        <v>3</v>
      </c>
      <c r="P14" s="4">
        <f t="shared" si="5"/>
        <v>0.70000000000000018</v>
      </c>
      <c r="Q14" s="3">
        <v>6.66</v>
      </c>
      <c r="R14" s="4">
        <v>0</v>
      </c>
      <c r="S14" s="4">
        <f t="shared" si="6"/>
        <v>0.32000000000000028</v>
      </c>
      <c r="T14" s="3">
        <v>6.34</v>
      </c>
      <c r="U14" s="4">
        <v>0</v>
      </c>
      <c r="V14" s="4">
        <f t="shared" si="7"/>
        <v>1.2999999999999998</v>
      </c>
      <c r="W14" s="3">
        <v>5.04</v>
      </c>
      <c r="X14" s="4">
        <v>0</v>
      </c>
      <c r="Y14" s="4">
        <f t="shared" si="8"/>
        <v>0.82000000000000028</v>
      </c>
      <c r="Z14" s="3">
        <v>4.22</v>
      </c>
      <c r="AA14" s="4">
        <v>0</v>
      </c>
      <c r="AB14" s="4">
        <f t="shared" si="9"/>
        <v>0.83999999999999986</v>
      </c>
      <c r="AC14" s="3">
        <v>3.38</v>
      </c>
      <c r="AD14" s="4">
        <v>0</v>
      </c>
      <c r="AE14" s="4">
        <f t="shared" si="10"/>
        <v>0.56000000000000005</v>
      </c>
      <c r="AF14" s="3">
        <v>2.82</v>
      </c>
      <c r="AG14" s="3">
        <v>5</v>
      </c>
      <c r="AH14" s="4">
        <f t="shared" si="11"/>
        <v>1.1200000000000001</v>
      </c>
      <c r="AI14" s="3">
        <v>6.7</v>
      </c>
      <c r="AJ14" s="4">
        <f t="shared" si="12"/>
        <v>16</v>
      </c>
      <c r="AK14" s="4">
        <f t="shared" si="13"/>
        <v>7.8199999999999994</v>
      </c>
      <c r="AL14" s="3">
        <v>6.7</v>
      </c>
    </row>
    <row r="15" spans="1:38" ht="18.75" customHeight="1">
      <c r="A15" s="2" t="s">
        <v>29</v>
      </c>
      <c r="B15" s="3">
        <v>0.56999999999999995</v>
      </c>
      <c r="C15" s="4">
        <v>0</v>
      </c>
      <c r="D15" s="4">
        <f t="shared" si="1"/>
        <v>0.27999999999999997</v>
      </c>
      <c r="E15" s="3">
        <v>0.28999999999999998</v>
      </c>
      <c r="F15" s="4">
        <v>0</v>
      </c>
      <c r="G15" s="4">
        <f t="shared" si="2"/>
        <v>0</v>
      </c>
      <c r="H15" s="3">
        <v>0.28999999999999998</v>
      </c>
      <c r="I15" s="4">
        <v>0</v>
      </c>
      <c r="J15" s="4">
        <f t="shared" si="3"/>
        <v>0</v>
      </c>
      <c r="K15" s="3">
        <v>0.28999999999999998</v>
      </c>
      <c r="L15" s="4">
        <v>0</v>
      </c>
      <c r="M15" s="4">
        <f t="shared" si="4"/>
        <v>0</v>
      </c>
      <c r="N15" s="3">
        <v>0.28999999999999998</v>
      </c>
      <c r="O15" s="4">
        <v>2</v>
      </c>
      <c r="P15" s="4">
        <f t="shared" si="5"/>
        <v>0.20000000000000018</v>
      </c>
      <c r="Q15" s="3">
        <v>2.09</v>
      </c>
      <c r="R15" s="4">
        <v>0</v>
      </c>
      <c r="S15" s="4">
        <f t="shared" si="6"/>
        <v>0.5199999999999998</v>
      </c>
      <c r="T15" s="3">
        <v>1.57</v>
      </c>
      <c r="U15" s="4">
        <v>0</v>
      </c>
      <c r="V15" s="4">
        <f t="shared" si="7"/>
        <v>0.21999999999999997</v>
      </c>
      <c r="W15" s="3">
        <v>1.35</v>
      </c>
      <c r="X15" s="4">
        <v>0</v>
      </c>
      <c r="Y15" s="4">
        <f t="shared" si="8"/>
        <v>0.56000000000000005</v>
      </c>
      <c r="Z15" s="3">
        <v>0.79</v>
      </c>
      <c r="AA15" s="4">
        <v>0</v>
      </c>
      <c r="AB15" s="4">
        <f t="shared" si="9"/>
        <v>0.56000000000000005</v>
      </c>
      <c r="AC15" s="3">
        <v>0.23</v>
      </c>
      <c r="AD15" s="4">
        <v>0</v>
      </c>
      <c r="AE15" s="4">
        <f t="shared" si="10"/>
        <v>0</v>
      </c>
      <c r="AF15" s="3">
        <v>0.23</v>
      </c>
      <c r="AG15" s="3">
        <v>5</v>
      </c>
      <c r="AH15" s="4">
        <f t="shared" si="11"/>
        <v>0.28000000000000025</v>
      </c>
      <c r="AI15" s="3">
        <v>4.95</v>
      </c>
      <c r="AJ15" s="4">
        <f t="shared" si="12"/>
        <v>7</v>
      </c>
      <c r="AK15" s="4">
        <f t="shared" si="13"/>
        <v>2.62</v>
      </c>
      <c r="AL15" s="3">
        <v>4.95</v>
      </c>
    </row>
    <row r="16" spans="1:38" ht="18.75" customHeight="1">
      <c r="A16" s="2" t="s">
        <v>30</v>
      </c>
      <c r="B16" s="3">
        <v>1.31</v>
      </c>
      <c r="C16" s="4">
        <v>2</v>
      </c>
      <c r="D16" s="4">
        <f t="shared" si="1"/>
        <v>1.4200000000000002</v>
      </c>
      <c r="E16" s="3">
        <v>1.89</v>
      </c>
      <c r="F16" s="4">
        <v>0</v>
      </c>
      <c r="G16" s="4">
        <f t="shared" si="2"/>
        <v>0.5199999999999998</v>
      </c>
      <c r="H16" s="3">
        <v>1.37</v>
      </c>
      <c r="I16" s="3">
        <v>3</v>
      </c>
      <c r="J16" s="4">
        <f t="shared" si="3"/>
        <v>1.2200000000000002</v>
      </c>
      <c r="K16" s="3">
        <v>3.15</v>
      </c>
      <c r="L16" s="4">
        <v>0</v>
      </c>
      <c r="M16" s="4">
        <f t="shared" si="4"/>
        <v>0.71999999999999975</v>
      </c>
      <c r="N16" s="3">
        <v>2.4300000000000002</v>
      </c>
      <c r="O16" s="3">
        <v>0</v>
      </c>
      <c r="P16" s="4">
        <f t="shared" si="5"/>
        <v>0.65000000000000013</v>
      </c>
      <c r="Q16" s="3">
        <v>1.78</v>
      </c>
      <c r="R16" s="4">
        <v>0</v>
      </c>
      <c r="S16" s="4">
        <f t="shared" si="6"/>
        <v>0</v>
      </c>
      <c r="T16" s="3">
        <v>1.78</v>
      </c>
      <c r="U16" s="4">
        <v>0</v>
      </c>
      <c r="V16" s="4">
        <f t="shared" si="7"/>
        <v>0.21999999999999997</v>
      </c>
      <c r="W16" s="3">
        <v>1.56</v>
      </c>
      <c r="X16" s="4">
        <v>0</v>
      </c>
      <c r="Y16" s="4">
        <f t="shared" si="8"/>
        <v>0.56000000000000005</v>
      </c>
      <c r="Z16" s="3">
        <v>1</v>
      </c>
      <c r="AA16" s="4">
        <v>0</v>
      </c>
      <c r="AB16" s="4">
        <f t="shared" si="9"/>
        <v>0.56000000000000005</v>
      </c>
      <c r="AC16" s="3">
        <v>0.44</v>
      </c>
      <c r="AD16" s="4">
        <v>0</v>
      </c>
      <c r="AE16" s="4">
        <f t="shared" si="10"/>
        <v>0.84000000000000008</v>
      </c>
      <c r="AF16" s="3">
        <v>-0.4</v>
      </c>
      <c r="AG16" s="3">
        <v>5</v>
      </c>
      <c r="AH16" s="4">
        <f t="shared" si="11"/>
        <v>0</v>
      </c>
      <c r="AI16" s="3">
        <v>4.5999999999999996</v>
      </c>
      <c r="AJ16" s="4">
        <f t="shared" si="12"/>
        <v>10</v>
      </c>
      <c r="AK16" s="4">
        <f t="shared" si="13"/>
        <v>6.7100000000000009</v>
      </c>
      <c r="AL16" s="3">
        <v>4.5999999999999996</v>
      </c>
    </row>
    <row r="17" spans="1:38" ht="18.75" customHeight="1">
      <c r="A17" s="2" t="s">
        <v>31</v>
      </c>
      <c r="B17" s="3">
        <v>1.788</v>
      </c>
      <c r="C17" s="6">
        <v>0</v>
      </c>
      <c r="D17" s="4">
        <f t="shared" si="1"/>
        <v>0.34000000000000008</v>
      </c>
      <c r="E17" s="3">
        <v>1.448</v>
      </c>
      <c r="F17" s="4">
        <v>0</v>
      </c>
      <c r="G17" s="4">
        <f t="shared" si="2"/>
        <v>1.6000000000000014E-2</v>
      </c>
      <c r="H17" s="3">
        <v>1.4319999999999999</v>
      </c>
      <c r="I17" s="4">
        <v>0</v>
      </c>
      <c r="J17" s="4">
        <f t="shared" si="3"/>
        <v>2.4999999999999911E-2</v>
      </c>
      <c r="K17" s="3">
        <v>1.407</v>
      </c>
      <c r="L17" s="4">
        <v>0</v>
      </c>
      <c r="M17" s="4">
        <f t="shared" si="4"/>
        <v>2.100000000000013E-2</v>
      </c>
      <c r="N17" s="3">
        <v>1.3859999999999999</v>
      </c>
      <c r="O17" s="3">
        <v>0</v>
      </c>
      <c r="P17" s="4">
        <f t="shared" si="5"/>
        <v>2.0999999999999908E-2</v>
      </c>
      <c r="Q17" s="3">
        <v>1.365</v>
      </c>
      <c r="R17" s="7">
        <v>0</v>
      </c>
      <c r="S17" s="4">
        <f t="shared" si="6"/>
        <v>1.8000000000000016E-2</v>
      </c>
      <c r="T17" s="3">
        <v>1.347</v>
      </c>
      <c r="U17" s="3">
        <v>0</v>
      </c>
      <c r="V17" s="4">
        <f t="shared" si="7"/>
        <v>3.0000000000000027E-2</v>
      </c>
      <c r="W17" s="3">
        <v>1.3169999999999999</v>
      </c>
      <c r="X17" s="7">
        <v>0</v>
      </c>
      <c r="Y17" s="4">
        <f t="shared" si="8"/>
        <v>6.999999999999984E-2</v>
      </c>
      <c r="Z17" s="3">
        <v>1.2470000000000001</v>
      </c>
      <c r="AA17" s="4">
        <v>0</v>
      </c>
      <c r="AB17" s="4">
        <f t="shared" si="9"/>
        <v>2.9000000000000137E-2</v>
      </c>
      <c r="AC17" s="3">
        <v>1.218</v>
      </c>
      <c r="AD17" s="4">
        <v>0</v>
      </c>
      <c r="AE17" s="4">
        <f t="shared" si="10"/>
        <v>3.0999999999999917E-2</v>
      </c>
      <c r="AF17" s="3">
        <v>1.1870000000000001</v>
      </c>
      <c r="AG17" s="4">
        <v>1</v>
      </c>
      <c r="AH17" s="4">
        <f t="shared" si="11"/>
        <v>2.8000000000000469E-2</v>
      </c>
      <c r="AI17" s="3">
        <v>2.1589999999999998</v>
      </c>
      <c r="AJ17" s="4">
        <f t="shared" si="12"/>
        <v>1</v>
      </c>
      <c r="AK17" s="4">
        <f t="shared" si="13"/>
        <v>0.62900000000000045</v>
      </c>
      <c r="AL17" s="3">
        <v>2.1589999999999998</v>
      </c>
    </row>
    <row r="18" spans="1:38" ht="18.75" customHeight="1">
      <c r="A18" s="2" t="s">
        <v>32</v>
      </c>
      <c r="B18" s="3">
        <v>3.28</v>
      </c>
      <c r="C18" s="7">
        <v>0</v>
      </c>
      <c r="D18" s="4">
        <f t="shared" si="1"/>
        <v>0.33999999999999986</v>
      </c>
      <c r="E18" s="3">
        <v>2.94</v>
      </c>
      <c r="F18" s="4">
        <v>0</v>
      </c>
      <c r="G18" s="4">
        <f t="shared" si="2"/>
        <v>3.2000000000000028E-2</v>
      </c>
      <c r="H18" s="3">
        <v>2.9079999999999999</v>
      </c>
      <c r="I18" s="4">
        <v>0</v>
      </c>
      <c r="J18" s="4">
        <f t="shared" si="3"/>
        <v>4.9999999999999822E-2</v>
      </c>
      <c r="K18" s="3">
        <v>2.8580000000000001</v>
      </c>
      <c r="L18" s="4">
        <v>0</v>
      </c>
      <c r="M18" s="4">
        <f t="shared" si="4"/>
        <v>4.0000000000000036E-2</v>
      </c>
      <c r="N18" s="3">
        <v>2.8180000000000001</v>
      </c>
      <c r="O18" s="4">
        <v>0</v>
      </c>
      <c r="P18" s="4">
        <f t="shared" si="5"/>
        <v>0.43700000000000028</v>
      </c>
      <c r="Q18" s="3">
        <v>2.3809999999999998</v>
      </c>
      <c r="R18" s="7">
        <v>0</v>
      </c>
      <c r="S18" s="4">
        <f t="shared" si="6"/>
        <v>3.2999999999999918E-2</v>
      </c>
      <c r="T18" s="3">
        <v>2.3479999999999999</v>
      </c>
      <c r="U18" s="3">
        <v>0</v>
      </c>
      <c r="V18" s="4">
        <f t="shared" si="7"/>
        <v>6.1999999999999833E-2</v>
      </c>
      <c r="W18" s="3">
        <v>2.286</v>
      </c>
      <c r="X18" s="7">
        <v>0</v>
      </c>
      <c r="Y18" s="4">
        <f t="shared" si="8"/>
        <v>1.6999999999999904E-2</v>
      </c>
      <c r="Z18" s="3">
        <v>2.2690000000000001</v>
      </c>
      <c r="AA18" s="4">
        <v>0</v>
      </c>
      <c r="AB18" s="4">
        <f t="shared" si="9"/>
        <v>5.9000000000000163E-2</v>
      </c>
      <c r="AC18" s="3">
        <v>2.21</v>
      </c>
      <c r="AD18" s="4">
        <v>0</v>
      </c>
      <c r="AE18" s="4">
        <f t="shared" si="10"/>
        <v>6.1999999999999833E-2</v>
      </c>
      <c r="AF18" s="3">
        <v>2.1480000000000001</v>
      </c>
      <c r="AG18" s="4">
        <v>1</v>
      </c>
      <c r="AH18" s="4">
        <f t="shared" si="11"/>
        <v>5.600000000000005E-2</v>
      </c>
      <c r="AI18" s="3">
        <v>3.0920000000000001</v>
      </c>
      <c r="AJ18" s="4">
        <f t="shared" si="12"/>
        <v>1</v>
      </c>
      <c r="AK18" s="4">
        <f t="shared" si="13"/>
        <v>1.1879999999999993</v>
      </c>
      <c r="AL18" s="3">
        <v>3.0920000000000001</v>
      </c>
    </row>
    <row r="19" spans="1:38" ht="18.75" customHeight="1">
      <c r="A19" s="2" t="s">
        <v>33</v>
      </c>
      <c r="B19" s="3">
        <v>2.2509999999999999</v>
      </c>
      <c r="C19" s="6">
        <v>0</v>
      </c>
      <c r="D19" s="4">
        <f t="shared" si="1"/>
        <v>0.33999999999999986</v>
      </c>
      <c r="E19" s="3">
        <v>1.911</v>
      </c>
      <c r="F19" s="4">
        <v>0</v>
      </c>
      <c r="G19" s="4">
        <f t="shared" si="2"/>
        <v>3.2000000000000028E-2</v>
      </c>
      <c r="H19" s="3">
        <v>1.879</v>
      </c>
      <c r="I19" s="4">
        <v>0</v>
      </c>
      <c r="J19" s="4">
        <f t="shared" si="3"/>
        <v>5.0000000000000044E-2</v>
      </c>
      <c r="K19" s="3">
        <v>1.829</v>
      </c>
      <c r="L19" s="4">
        <v>0</v>
      </c>
      <c r="M19" s="4">
        <f t="shared" si="4"/>
        <v>4.0000000000000036E-2</v>
      </c>
      <c r="N19" s="3">
        <v>1.7889999999999999</v>
      </c>
      <c r="O19" s="4">
        <v>0</v>
      </c>
      <c r="P19" s="4">
        <f t="shared" si="5"/>
        <v>0.43699999999999983</v>
      </c>
      <c r="Q19" s="3">
        <v>1.3520000000000001</v>
      </c>
      <c r="R19" s="7">
        <v>0</v>
      </c>
      <c r="S19" s="4">
        <f t="shared" si="6"/>
        <v>3.5000000000000142E-2</v>
      </c>
      <c r="T19" s="3">
        <v>1.3169999999999999</v>
      </c>
      <c r="U19" s="3">
        <v>0</v>
      </c>
      <c r="V19" s="4">
        <f t="shared" si="7"/>
        <v>6.0000000000000053E-2</v>
      </c>
      <c r="W19" s="3">
        <v>1.2569999999999999</v>
      </c>
      <c r="X19" s="7">
        <v>0</v>
      </c>
      <c r="Y19" s="4">
        <f t="shared" si="8"/>
        <v>6.999999999999984E-2</v>
      </c>
      <c r="Z19" s="3">
        <v>1.1870000000000001</v>
      </c>
      <c r="AA19" s="4">
        <v>0</v>
      </c>
      <c r="AB19" s="4">
        <f t="shared" si="9"/>
        <v>5.9000000000000163E-2</v>
      </c>
      <c r="AC19" s="3">
        <v>1.1279999999999999</v>
      </c>
      <c r="AD19" s="4">
        <v>0</v>
      </c>
      <c r="AE19" s="4">
        <f t="shared" si="10"/>
        <v>6.1999999999999833E-2</v>
      </c>
      <c r="AF19" s="3">
        <v>1.0660000000000001</v>
      </c>
      <c r="AG19" s="4">
        <v>1</v>
      </c>
      <c r="AH19" s="4">
        <f t="shared" si="11"/>
        <v>5.600000000000005E-2</v>
      </c>
      <c r="AI19" s="3">
        <v>2.0099999999999998</v>
      </c>
      <c r="AJ19" s="4">
        <f t="shared" si="12"/>
        <v>1</v>
      </c>
      <c r="AK19" s="4">
        <f t="shared" si="13"/>
        <v>1.2410000000000001</v>
      </c>
      <c r="AL19" s="3">
        <v>2.0099999999999998</v>
      </c>
    </row>
    <row r="20" spans="1:38" ht="18.75" customHeight="1">
      <c r="A20" s="2" t="s">
        <v>34</v>
      </c>
      <c r="B20" s="3">
        <v>1.1974</v>
      </c>
      <c r="C20" s="3">
        <v>0</v>
      </c>
      <c r="D20" s="4">
        <f t="shared" si="1"/>
        <v>0.6804</v>
      </c>
      <c r="E20" s="3">
        <v>0.51700000000000002</v>
      </c>
      <c r="F20" s="4">
        <v>0</v>
      </c>
      <c r="G20" s="4">
        <f t="shared" si="2"/>
        <v>8.0000000000000016E-2</v>
      </c>
      <c r="H20" s="3">
        <v>0.437</v>
      </c>
      <c r="I20" s="3">
        <v>1</v>
      </c>
      <c r="J20" s="4">
        <f t="shared" si="3"/>
        <v>1.3000000000000123E-2</v>
      </c>
      <c r="K20" s="3">
        <v>1.4239999999999999</v>
      </c>
      <c r="L20" s="4">
        <v>0</v>
      </c>
      <c r="M20" s="4">
        <f t="shared" si="4"/>
        <v>1.0000000000000009E-2</v>
      </c>
      <c r="N20" s="3">
        <v>1.4139999999999999</v>
      </c>
      <c r="O20" s="4">
        <v>1</v>
      </c>
      <c r="P20" s="4">
        <f t="shared" si="5"/>
        <v>0.10999999999999988</v>
      </c>
      <c r="Q20" s="3">
        <v>2.3039999999999998</v>
      </c>
      <c r="R20" s="4">
        <v>0</v>
      </c>
      <c r="S20" s="4">
        <f t="shared" si="6"/>
        <v>8.5999999999999854E-2</v>
      </c>
      <c r="T20" s="3">
        <v>2.218</v>
      </c>
      <c r="U20" s="4">
        <v>0</v>
      </c>
      <c r="V20" s="4">
        <f t="shared" si="7"/>
        <v>0.14999999999999991</v>
      </c>
      <c r="W20" s="3">
        <v>2.0680000000000001</v>
      </c>
      <c r="X20" s="4">
        <v>0</v>
      </c>
      <c r="Y20" s="4">
        <f t="shared" si="8"/>
        <v>0.17500000000000004</v>
      </c>
      <c r="Z20" s="3">
        <v>1.893</v>
      </c>
      <c r="AA20" s="4">
        <v>0</v>
      </c>
      <c r="AB20" s="4">
        <f t="shared" si="9"/>
        <v>0.14700000000000002</v>
      </c>
      <c r="AC20" s="3">
        <v>1.746</v>
      </c>
      <c r="AD20" s="4">
        <v>0</v>
      </c>
      <c r="AE20" s="4">
        <f t="shared" si="10"/>
        <v>0.15399999999999991</v>
      </c>
      <c r="AF20" s="3">
        <v>1.5920000000000001</v>
      </c>
      <c r="AG20" s="4">
        <v>1</v>
      </c>
      <c r="AH20" s="4">
        <f t="shared" si="11"/>
        <v>0.14000000000000012</v>
      </c>
      <c r="AI20" s="3">
        <v>2.452</v>
      </c>
      <c r="AJ20" s="4">
        <f t="shared" si="12"/>
        <v>3</v>
      </c>
      <c r="AK20" s="4">
        <f t="shared" si="13"/>
        <v>1.7454000000000001</v>
      </c>
      <c r="AL20" s="3">
        <v>2.452</v>
      </c>
    </row>
    <row r="21" spans="1:38" ht="18.75" customHeight="1">
      <c r="A21" s="2" t="s">
        <v>35</v>
      </c>
      <c r="B21" s="3">
        <v>2</v>
      </c>
      <c r="C21" s="3">
        <v>6</v>
      </c>
      <c r="D21" s="4">
        <f t="shared" si="1"/>
        <v>1.7000000000000002</v>
      </c>
      <c r="E21" s="3">
        <v>6.3</v>
      </c>
      <c r="F21" s="4">
        <v>0</v>
      </c>
      <c r="G21" s="4">
        <f t="shared" si="2"/>
        <v>0.80499999999999972</v>
      </c>
      <c r="H21" s="3">
        <v>5.4950000000000001</v>
      </c>
      <c r="I21" s="4">
        <v>0</v>
      </c>
      <c r="J21" s="4">
        <f t="shared" si="3"/>
        <v>1.2300000000000004</v>
      </c>
      <c r="K21" s="3">
        <v>4.2649999999999997</v>
      </c>
      <c r="L21" s="4">
        <v>0</v>
      </c>
      <c r="M21" s="4">
        <f t="shared" si="4"/>
        <v>0.99999999999999956</v>
      </c>
      <c r="N21" s="3">
        <v>3.2650000000000001</v>
      </c>
      <c r="O21" s="3">
        <v>3</v>
      </c>
      <c r="P21" s="4">
        <f t="shared" si="5"/>
        <v>1.0950000000000006</v>
      </c>
      <c r="Q21" s="3">
        <v>5.17</v>
      </c>
      <c r="R21" s="4">
        <v>0</v>
      </c>
      <c r="S21" s="4">
        <f t="shared" si="6"/>
        <v>0.86500000000000021</v>
      </c>
      <c r="T21" s="3">
        <v>4.3049999999999997</v>
      </c>
      <c r="U21" s="3">
        <v>0</v>
      </c>
      <c r="V21" s="4">
        <f t="shared" si="7"/>
        <v>1.4949999999999997</v>
      </c>
      <c r="W21" s="3">
        <v>2.81</v>
      </c>
      <c r="X21" s="3">
        <v>2</v>
      </c>
      <c r="Y21" s="4">
        <f t="shared" si="8"/>
        <v>1.7450000000000006</v>
      </c>
      <c r="Z21" s="3">
        <v>3.0649999999999999</v>
      </c>
      <c r="AA21" s="4">
        <v>0</v>
      </c>
      <c r="AB21" s="4">
        <f t="shared" si="9"/>
        <v>1.536</v>
      </c>
      <c r="AC21" s="3">
        <v>1.5289999999999999</v>
      </c>
      <c r="AD21" s="4">
        <v>0</v>
      </c>
      <c r="AE21" s="4">
        <f t="shared" si="10"/>
        <v>1.474</v>
      </c>
      <c r="AF21" s="3">
        <v>5.5E-2</v>
      </c>
      <c r="AG21" s="4">
        <v>3</v>
      </c>
      <c r="AH21" s="4">
        <f t="shared" si="11"/>
        <v>1.4000000000000001</v>
      </c>
      <c r="AI21" s="3">
        <v>1.655</v>
      </c>
      <c r="AJ21" s="4">
        <f t="shared" si="12"/>
        <v>14</v>
      </c>
      <c r="AK21" s="4">
        <f t="shared" si="13"/>
        <v>14.345000000000001</v>
      </c>
      <c r="AL21" s="3">
        <v>1.655</v>
      </c>
    </row>
    <row r="22" spans="1:38" ht="18.75" customHeight="1">
      <c r="A22" s="2" t="s">
        <v>36</v>
      </c>
      <c r="B22" s="3">
        <v>0.52</v>
      </c>
      <c r="C22" s="4">
        <v>2</v>
      </c>
      <c r="D22" s="4">
        <f t="shared" si="1"/>
        <v>0.67999999999999994</v>
      </c>
      <c r="E22" s="3">
        <v>1.84</v>
      </c>
      <c r="F22" s="4">
        <v>0</v>
      </c>
      <c r="G22" s="4">
        <f t="shared" si="2"/>
        <v>4.0000000000000036E-2</v>
      </c>
      <c r="H22" s="3">
        <v>1.8</v>
      </c>
      <c r="I22" s="4">
        <v>0</v>
      </c>
      <c r="J22" s="4">
        <f t="shared" si="3"/>
        <v>5.0000000000000044E-2</v>
      </c>
      <c r="K22" s="3">
        <v>1.75</v>
      </c>
      <c r="L22" s="4">
        <v>0</v>
      </c>
      <c r="M22" s="4">
        <f t="shared" si="4"/>
        <v>4.0000000000000036E-2</v>
      </c>
      <c r="N22" s="3">
        <v>1.71</v>
      </c>
      <c r="O22" s="4">
        <v>1</v>
      </c>
      <c r="P22" s="4">
        <f t="shared" si="5"/>
        <v>2.4000000000000021E-2</v>
      </c>
      <c r="Q22" s="3">
        <v>2.6859999999999999</v>
      </c>
      <c r="R22" s="4">
        <v>0</v>
      </c>
      <c r="S22" s="4">
        <f t="shared" si="6"/>
        <v>4.3000000000000149E-2</v>
      </c>
      <c r="T22" s="3">
        <v>2.6429999999999998</v>
      </c>
      <c r="U22" s="3">
        <v>0</v>
      </c>
      <c r="V22" s="4">
        <f t="shared" si="7"/>
        <v>7.4999999999999734E-2</v>
      </c>
      <c r="W22" s="3">
        <v>2.5680000000000001</v>
      </c>
      <c r="X22" s="4">
        <v>0</v>
      </c>
      <c r="Y22" s="4">
        <f t="shared" si="8"/>
        <v>8.7000000000000188E-2</v>
      </c>
      <c r="Z22" s="3">
        <v>2.4809999999999999</v>
      </c>
      <c r="AA22" s="4">
        <v>0</v>
      </c>
      <c r="AB22" s="4">
        <f t="shared" si="9"/>
        <v>7.2999999999999954E-2</v>
      </c>
      <c r="AC22" s="3">
        <v>2.4079999999999999</v>
      </c>
      <c r="AD22" s="4">
        <v>0</v>
      </c>
      <c r="AE22" s="4">
        <f t="shared" si="10"/>
        <v>7.7999999999999847E-2</v>
      </c>
      <c r="AF22" s="3">
        <v>2.33</v>
      </c>
      <c r="AG22" s="4">
        <v>1</v>
      </c>
      <c r="AH22" s="4">
        <f t="shared" si="11"/>
        <v>7.0000000000000284E-2</v>
      </c>
      <c r="AI22" s="3">
        <v>3.26</v>
      </c>
      <c r="AJ22" s="4">
        <f t="shared" si="12"/>
        <v>4</v>
      </c>
      <c r="AK22" s="4">
        <f t="shared" si="13"/>
        <v>1.2599999999999998</v>
      </c>
      <c r="AL22" s="3">
        <v>3.26</v>
      </c>
    </row>
    <row r="23" spans="1:38" ht="18.75" customHeight="1">
      <c r="A23" s="2" t="s">
        <v>37</v>
      </c>
      <c r="B23" s="3">
        <v>4.4329999999999998</v>
      </c>
      <c r="C23" s="3">
        <v>0</v>
      </c>
      <c r="D23" s="4">
        <f t="shared" si="1"/>
        <v>0.67999999999999972</v>
      </c>
      <c r="E23" s="3">
        <v>3.7530000000000001</v>
      </c>
      <c r="F23" s="4">
        <v>0</v>
      </c>
      <c r="G23" s="4">
        <f t="shared" si="2"/>
        <v>8.0999999999999961E-2</v>
      </c>
      <c r="H23" s="3">
        <v>3.6720000000000002</v>
      </c>
      <c r="I23" s="3">
        <v>0</v>
      </c>
      <c r="J23" s="4">
        <f t="shared" si="3"/>
        <v>0.64700000000000024</v>
      </c>
      <c r="K23" s="3">
        <v>3.0249999999999999</v>
      </c>
      <c r="L23" s="4">
        <v>0</v>
      </c>
      <c r="M23" s="4">
        <f t="shared" si="4"/>
        <v>9.9999999999997868E-3</v>
      </c>
      <c r="N23" s="3">
        <v>3.0150000000000001</v>
      </c>
      <c r="O23" s="4">
        <v>1</v>
      </c>
      <c r="P23" s="4">
        <f t="shared" si="5"/>
        <v>1.3830000000000005</v>
      </c>
      <c r="Q23" s="3">
        <v>2.6320000000000001</v>
      </c>
      <c r="R23" s="4">
        <v>0</v>
      </c>
      <c r="S23" s="4">
        <f t="shared" si="6"/>
        <v>3.5000000000000142E-2</v>
      </c>
      <c r="T23" s="3">
        <v>2.597</v>
      </c>
      <c r="U23" s="4">
        <v>0</v>
      </c>
      <c r="V23" s="4">
        <f t="shared" si="7"/>
        <v>0.14999999999999991</v>
      </c>
      <c r="W23" s="3">
        <v>2.4470000000000001</v>
      </c>
      <c r="X23" s="4">
        <v>0</v>
      </c>
      <c r="Y23" s="4">
        <f t="shared" si="8"/>
        <v>0.17500000000000027</v>
      </c>
      <c r="Z23" s="3">
        <v>2.2719999999999998</v>
      </c>
      <c r="AA23" s="4">
        <v>0</v>
      </c>
      <c r="AB23" s="4">
        <f t="shared" si="9"/>
        <v>0.1469999999999998</v>
      </c>
      <c r="AC23" s="3">
        <v>2.125</v>
      </c>
      <c r="AD23" s="4">
        <v>0</v>
      </c>
      <c r="AE23" s="4">
        <f t="shared" si="10"/>
        <v>0.15399999999999991</v>
      </c>
      <c r="AF23" s="3">
        <v>1.9710000000000001</v>
      </c>
      <c r="AG23" s="3">
        <v>1</v>
      </c>
      <c r="AH23" s="4">
        <f t="shared" si="11"/>
        <v>2.14</v>
      </c>
      <c r="AI23" s="3">
        <v>0.83099999999999996</v>
      </c>
      <c r="AJ23" s="4">
        <f t="shared" si="12"/>
        <v>2</v>
      </c>
      <c r="AK23" s="4">
        <f t="shared" si="13"/>
        <v>5.6020000000000003</v>
      </c>
      <c r="AL23" s="3">
        <v>0.83099999999999996</v>
      </c>
    </row>
    <row r="24" spans="1:38" ht="18.75" customHeight="1">
      <c r="A24" s="2" t="s">
        <v>38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3">
        <v>2</v>
      </c>
      <c r="J24" s="4">
        <f t="shared" si="3"/>
        <v>2</v>
      </c>
      <c r="K24" s="4">
        <v>0</v>
      </c>
      <c r="L24" s="4">
        <v>0</v>
      </c>
      <c r="M24" s="4">
        <f>J24+L24-N24</f>
        <v>0.96</v>
      </c>
      <c r="N24" s="3">
        <v>1.04</v>
      </c>
      <c r="O24" s="4">
        <v>2</v>
      </c>
      <c r="P24" s="4">
        <f t="shared" si="5"/>
        <v>0.81999999999999984</v>
      </c>
      <c r="Q24" s="3">
        <v>2.2200000000000002</v>
      </c>
      <c r="R24" s="4">
        <v>0</v>
      </c>
      <c r="S24" s="4">
        <f t="shared" si="6"/>
        <v>0.26000000000000023</v>
      </c>
      <c r="T24" s="3">
        <v>1.96</v>
      </c>
      <c r="U24" s="4">
        <v>0</v>
      </c>
      <c r="V24" s="4">
        <f t="shared" si="7"/>
        <v>0.72</v>
      </c>
      <c r="W24" s="3">
        <v>1.24</v>
      </c>
      <c r="X24" s="4">
        <v>0</v>
      </c>
      <c r="Y24" s="4">
        <f t="shared" si="8"/>
        <v>0.31999999999999995</v>
      </c>
      <c r="Z24" s="3">
        <v>0.92</v>
      </c>
      <c r="AA24" s="4">
        <v>0</v>
      </c>
      <c r="AB24" s="4">
        <f t="shared" si="9"/>
        <v>0.35000000000000009</v>
      </c>
      <c r="AC24" s="3">
        <v>0.56999999999999995</v>
      </c>
      <c r="AD24" s="4">
        <v>0</v>
      </c>
      <c r="AE24" s="4">
        <f t="shared" si="10"/>
        <v>0.55999999999999994</v>
      </c>
      <c r="AF24" s="3">
        <v>0.01</v>
      </c>
      <c r="AG24" s="4">
        <v>1</v>
      </c>
      <c r="AH24" s="4">
        <f t="shared" si="11"/>
        <v>0</v>
      </c>
      <c r="AI24" s="3">
        <v>1.01</v>
      </c>
      <c r="AJ24" s="4">
        <f t="shared" si="12"/>
        <v>5</v>
      </c>
      <c r="AK24" s="4">
        <f t="shared" si="13"/>
        <v>3.99</v>
      </c>
      <c r="AL24" s="3">
        <v>1.01</v>
      </c>
    </row>
    <row r="25" spans="1:38" ht="18.75" customHeight="1">
      <c r="A25" s="2" t="s">
        <v>19</v>
      </c>
      <c r="B25" s="4"/>
      <c r="C25" s="12">
        <f>D6*2.59</f>
        <v>880.59999999999991</v>
      </c>
      <c r="D25" s="10"/>
      <c r="E25" s="11"/>
      <c r="F25" s="12">
        <f>F6*2.59</f>
        <v>416.98999999999995</v>
      </c>
      <c r="G25" s="10"/>
      <c r="H25" s="11"/>
      <c r="I25" s="12">
        <f>I6*2.59</f>
        <v>670.81</v>
      </c>
      <c r="J25" s="10"/>
      <c r="K25" s="11"/>
      <c r="L25" s="12">
        <f>L6*2.59</f>
        <v>520.58999999999992</v>
      </c>
      <c r="M25" s="10"/>
      <c r="N25" s="11"/>
      <c r="O25" s="12">
        <f>O6*2.59</f>
        <v>567.20999999999992</v>
      </c>
      <c r="P25" s="10"/>
      <c r="Q25" s="11"/>
      <c r="R25" s="12">
        <f>R6*2.59</f>
        <v>448.07</v>
      </c>
      <c r="S25" s="10"/>
      <c r="T25" s="11"/>
      <c r="U25" s="12">
        <f>U6*2.59</f>
        <v>774.41</v>
      </c>
      <c r="V25" s="10"/>
      <c r="W25" s="11"/>
      <c r="X25" s="12">
        <f>X6*2.59</f>
        <v>903.91</v>
      </c>
      <c r="Y25" s="10"/>
      <c r="Z25" s="11"/>
      <c r="AA25" s="12">
        <f>AA6*2.59</f>
        <v>761.45999999999992</v>
      </c>
      <c r="AB25" s="10"/>
      <c r="AC25" s="11"/>
      <c r="AD25" s="12">
        <f>AD6*2.59</f>
        <v>797.71999999999991</v>
      </c>
      <c r="AE25" s="10"/>
      <c r="AF25" s="11"/>
      <c r="AG25" s="12">
        <f>AG6*2.59</f>
        <v>725.19999999999993</v>
      </c>
      <c r="AH25" s="10"/>
      <c r="AI25" s="11"/>
      <c r="AJ25" s="12">
        <f>2.59*AJ6</f>
        <v>7466.9699999999993</v>
      </c>
      <c r="AK25" s="10"/>
      <c r="AL25" s="11"/>
    </row>
    <row r="26" spans="1:38" ht="18.75" customHeight="1">
      <c r="A26" s="1"/>
      <c r="B26" s="1"/>
      <c r="C26" s="1"/>
      <c r="D26" s="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8.75" customHeight="1">
      <c r="A29" s="1"/>
      <c r="B29" s="1"/>
      <c r="C29" s="1"/>
      <c r="D29" s="1"/>
      <c r="E29" s="1"/>
      <c r="F29" s="1" t="s">
        <v>39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/>
    <row r="231" spans="1:38" ht="15.75" customHeight="1"/>
    <row r="232" spans="1:38" ht="15.75" customHeight="1"/>
    <row r="233" spans="1:38" ht="15.75" customHeight="1"/>
    <row r="234" spans="1:38" ht="15.75" customHeight="1"/>
    <row r="235" spans="1:38" ht="15.75" customHeight="1"/>
    <row r="236" spans="1:38" ht="15.75" customHeight="1"/>
    <row r="237" spans="1:38" ht="15.75" customHeight="1"/>
    <row r="238" spans="1:38" ht="15.75" customHeight="1"/>
    <row r="239" spans="1:38" ht="15.75" customHeight="1"/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A1:AL1"/>
    <mergeCell ref="A2:AL2"/>
    <mergeCell ref="A3:A7"/>
    <mergeCell ref="B3:B7"/>
    <mergeCell ref="I3:K3"/>
    <mergeCell ref="AJ3:AL3"/>
    <mergeCell ref="AJ4:AL4"/>
    <mergeCell ref="AG5:AI5"/>
    <mergeCell ref="AJ5:AL5"/>
    <mergeCell ref="D6:E6"/>
    <mergeCell ref="F6:H6"/>
    <mergeCell ref="I6:K6"/>
    <mergeCell ref="L6:N6"/>
    <mergeCell ref="O6:Q6"/>
    <mergeCell ref="R6:T6"/>
    <mergeCell ref="U6:W6"/>
    <mergeCell ref="AG25:AI25"/>
    <mergeCell ref="AJ25:AL25"/>
    <mergeCell ref="I5:K5"/>
    <mergeCell ref="L5:N5"/>
    <mergeCell ref="C25:E25"/>
    <mergeCell ref="F25:H25"/>
    <mergeCell ref="I25:K25"/>
    <mergeCell ref="L25:N25"/>
    <mergeCell ref="O25:Q25"/>
    <mergeCell ref="D5:E5"/>
    <mergeCell ref="F5:H5"/>
    <mergeCell ref="X6:Z6"/>
    <mergeCell ref="AA6:AC6"/>
    <mergeCell ref="AD6:AF6"/>
    <mergeCell ref="AG6:AI6"/>
    <mergeCell ref="AJ6:AL6"/>
    <mergeCell ref="AD5:AF5"/>
    <mergeCell ref="R25:T25"/>
    <mergeCell ref="U25:W25"/>
    <mergeCell ref="X25:Z25"/>
    <mergeCell ref="AA25:AC25"/>
    <mergeCell ref="AD25:AF25"/>
    <mergeCell ref="O5:Q5"/>
    <mergeCell ref="R5:T5"/>
    <mergeCell ref="U5:W5"/>
    <mergeCell ref="X5:Z5"/>
    <mergeCell ref="AA5:AC5"/>
    <mergeCell ref="AA3:AC3"/>
    <mergeCell ref="AD3:AF3"/>
    <mergeCell ref="AG3:AI3"/>
    <mergeCell ref="C3:E3"/>
    <mergeCell ref="D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F3:H3"/>
    <mergeCell ref="L3:N3"/>
    <mergeCell ref="O3:Q3"/>
    <mergeCell ref="R3:T3"/>
    <mergeCell ref="U3:W3"/>
    <mergeCell ref="X3:Z3"/>
  </mergeCells>
  <printOptions horizontalCentered="1" verticalCentered="1"/>
  <pageMargins left="0.25" right="0.25" top="0.75" bottom="0.75" header="0" footer="0"/>
  <pageSetup paperSize="5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धान्य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2026-10-11T07:56:59Z</dcterms:modified>
</cp:coreProperties>
</file>